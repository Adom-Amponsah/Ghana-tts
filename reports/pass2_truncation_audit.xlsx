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708" activeTab="1"/>
  </bookViews>
  <sheets>
    <sheet name="INSTRUCTIONS" sheetId="1" r:id="rId1"/>
    <sheet name="AUDIT" sheetId="2" r:id="rId2"/>
    <sheet name="GOOD" sheetId="3" r:id="rId3"/>
    <sheet name="BA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<sst xmlns="http://schemas.openxmlformats.org/spreadsheetml/2006/main" count="359" uniqueCount="169">
  <si>
    <t>PASS 2 — TRUNCATION CHECK (random 12-15 s clips)</t>
  </si>
  <si>
    <t/>
  </si>
  <si>
    <t>Purpose: confirm the &gt;=12 s duration floor before the full 131 GB download.</t>
  </si>
  <si>
    <t>48 clips, uniformly random shards + rows, all from the 12-15 s band, from 8</t>
  </si>
  <si>
    <t>shards NOT used in the 200-clip audit.</t>
  </si>
  <si>
    <t>THE MAIN QUESTION: does the clip end mid-sentence?</t>
  </si>
  <si>
    <t>--------------------------------------------------</t>
  </si>
  <si>
    <t>The corpus has a hard 15.000 s ceiling. Clips with at_ceiling = TRUE</t>
  </si>
  <si>
    <t>(duration &gt;= 14.9 s) are the prime suspects:</t>
  </si>
  <si>
    <t xml:space="preserve">  BAD   "...the government would respond to the"   CUT</t>
  </si>
  <si>
    <t xml:space="preserve">  GOOD  "...the government would respond immediately."  natural end</t>
  </si>
  <si>
    <t>How to listen</t>
  </si>
  <si>
    <t>-------------</t>
  </si>
  <si>
    <t>1. Play the clip. Pay attention to the LAST 1-2 seconds first.</t>
  </si>
  <si>
    <t>2. Then the FIRST second (does it start mid-word / mid-sentence?).</t>
  </si>
  <si>
    <t>3. Read corrected_text afterwards - does it match what was said?</t>
  </si>
  <si>
    <t>Marking</t>
  </si>
  <si>
    <t>-------</t>
  </si>
  <si>
    <t>VERDICT  KEEP / BORDERLINE / REJECT   (same meaning as pass 1)</t>
  </si>
  <si>
    <t>REASON   cut_end / cut_start / cut_both / multiple_speakers / noise /</t>
  </si>
  <si>
    <t xml:space="preserve">         music / transcript_mismatch / unnatural_delivery / other</t>
  </si>
  <si>
    <t>What we need to know</t>
  </si>
  <si>
    <t>--------------------</t>
  </si>
  <si>
    <t>- reject rate among at_ceiling clips  (is the 15 s cut audible &amp; damaging?)</t>
  </si>
  <si>
    <t>- reject rate overall in the 12-15 s band (should be ~8% if pass 1 holds)</t>
  </si>
  <si>
    <t>If at-ceiling clips keep at a similar rate, the &gt;=12 s floor is confirmed</t>
  </si>
  <si>
    <t>and we proceed to the full download.</t>
  </si>
  <si>
    <t>listen_order</t>
  </si>
  <si>
    <t>wav_file</t>
  </si>
  <si>
    <t>shard</t>
  </si>
  <si>
    <t>duration_s</t>
  </si>
  <si>
    <t>selection</t>
  </si>
  <si>
    <t>corrected_text</t>
  </si>
  <si>
    <t>VERDICT</t>
  </si>
  <si>
    <t>REASON</t>
  </si>
  <si>
    <t>NOTES</t>
  </si>
  <si>
    <t>p2_49_filtered-train-00034-of-00082_r2964.wav</t>
  </si>
  <si>
    <t>filtered-train-00034-of-00082.parquet</t>
  </si>
  <si>
    <t>ceiling_target</t>
  </si>
  <si>
    <t>like thase Tumu upper west tum alone can give us I thasink I thasink we need to bring you to hasave a a separate discussion on thasis. But let's uhas Prof coming to take hasis bite on thase Prof. um thase people whaso say thase NP was</t>
  </si>
  <si>
    <t>REJECT</t>
  </si>
  <si>
    <t>p2_66_filtered-train-00053-of-00082_r152.wav</t>
  </si>
  <si>
    <t>filtered-train-00053-of-00082.parquet</t>
  </si>
  <si>
    <t>which is a state of emergency what kind of leadership would I be exuding in trying to solve that particular problem because government is a continuum it's a continuum yes and to a point where we knew that we had exhausted all the tools. All the tools. Yeah. But this room say</t>
  </si>
  <si>
    <t>KEEP</t>
  </si>
  <si>
    <t>p2_59_filtered-train-00049-of-00082_r1137.wav</t>
  </si>
  <si>
    <t>filtered-train-00049-of-00082.parquet</t>
  </si>
  <si>
    <t>the big one the medium the broken and the chaff and everything from there we can do the the bagging the we bagging then when the farmer want to store it then we can store it for the warehouse around the church you see there's a open space there if it's agreeing for</t>
  </si>
  <si>
    <t>p2_54_filtered-train-00039-of-00082_r587.wav</t>
  </si>
  <si>
    <t>filtered-train-00039-of-00082.parquet</t>
  </si>
  <si>
    <t>manifestos and our promises that we are making to the great uh Consolidated uh ndpc plan uh that has been put in place so that we can be sure of our progressional growth  uh incrementally and December 7th would be</t>
  </si>
  <si>
    <t>p2_70_filtered-train-00053-of-00082_r1087.wav</t>
  </si>
  <si>
    <t>public sector workers union as illiegal. the group is protesting a delay by tte finance ministry to provide quote definitive commitment or timelines regarding payment of operational support allowance</t>
  </si>
  <si>
    <t>p2_62_filtered-train-00049-of-00082_r1642.wav</t>
  </si>
  <si>
    <t>some motorists who say they are upbeat about a single digit rate for fuel prices which will which will in turn ease the cost of living. Fuel prices across the country are beginning to take a nose dive as predicted by experts a couple of days</t>
  </si>
  <si>
    <t>p2_48_filtered-train-00034-of-00082_r1998.wav</t>
  </si>
  <si>
    <t>particularly with regard to the perceived fairness The Irregular use or or the political justifications of some of them so the questions really go into the assessment that go into it and the information that we uh that accompany them you have talked for instance about</t>
  </si>
  <si>
    <t>p2_71_filtered-train-00053-of-00082_r1518.wav</t>
  </si>
  <si>
    <t>that being practical and being deliberate that this is what we want to produce for example tomatoes and we say okay we'll support farmers with this within the next 2 3 years we are cutting importation of tomatoes by half or by</t>
  </si>
  <si>
    <t>p2_51_filtered-train-00039-of-00082_r0.wav</t>
  </si>
  <si>
    <t>work together to address the root causes of illegal mining Empower local communities and hold those who break the law accountable and that is the commitment of the NDC the NDC comes from the back of ensuring that the young people of the this country are help to mind sustainably we have always</t>
  </si>
  <si>
    <t>p2_50_filtered-train-00034-of-00082_r3307.wav</t>
  </si>
  <si>
    <t>something to bow. For the first time, we are bringing it to Ghana. The global prayer works coming from all over the nations of the world to lift up prayer. It's time for the powers of the dark kingdom to bow their knees when we</t>
  </si>
  <si>
    <t>BORDERLINE</t>
  </si>
  <si>
    <t>p2_57_filtered-train-00049-of-00082_r601.wav</t>
  </si>
  <si>
    <t xml:space="preserve"> the chinese language to support our internationalization agenda for the invest and by extension also for the country with this new center Ghana is set to play a key role in training chinese language teachers for West African region this is according to</t>
  </si>
  <si>
    <t>p2_55_filtered-train-00039-of-00082_r1773.wav</t>
  </si>
  <si>
    <t>is employment process you know seven months ago very well let not do that</t>
  </si>
  <si>
    <t>p2_79_filtered-train-00063-of-00082_r2529.wav</t>
  </si>
  <si>
    <t>filtered-train-00063-of-00082.parquet</t>
  </si>
  <si>
    <t>uniform_random</t>
  </si>
  <si>
    <t>exhibitors are making sure you become a homeowner we are saying that you should buy a house or land from us and pay it with without interest in 5 and 2 years after paying the 40% down payment will</t>
  </si>
  <si>
    <t>p2_07_filtered-train-00039-of-00082_r1252.wav</t>
  </si>
  <si>
    <t>question if you if you like that's easy to find what happened oh obviously the GRA is there to answer even um the ECG itself also mhm has a question to answer I mean people who are in the place and in</t>
  </si>
  <si>
    <t>p2_58_filtered-train-00049-of-00082_r1136.wav</t>
  </si>
  <si>
    <t>other foreign materials in it and the maize is not even even distributed. There are bigger one the bulky one. So from here we are sending it to the the cleaner which is going to remove all these foreign materials from it from it and put the maize in classes</t>
  </si>
  <si>
    <t>p2_68_filtered-train-00053-of-00082_r889.wav</t>
  </si>
  <si>
    <t>listen to voices like we have uh been you know condemning to do what they doing uh Frank Davis um do do you do you sense the frustration in the voice of um</t>
  </si>
  <si>
    <t>p2_82_filtered-train-00075-of-00082_r2388.wav</t>
  </si>
  <si>
    <t>filtered-train-00075-of-00082.parquet</t>
  </si>
  <si>
    <t>point. I'm making a point. WEz arEz lumping all togEzthEzr. WEz lumping all togEzthEzr. I want to I want to sEzparatEz things. No. Go on. Now, doEzs Justin comEz out to say that thEzy say hEz's thEz only pEzrson who drinks in thEz club and thEzrEz arEz othEzrs to who drink in thEz club. WhEzrEz's thEz EzvidEzncEz?</t>
  </si>
  <si>
    <t>p2_64_filtered-train-00049-of-00082_r2517.wav</t>
  </si>
  <si>
    <t>system in the country and they are strange people because they not follow the Norms that have been established over the period. are we going to see The Return of that grouping like we saw a not not couple of years barely a decade ago</t>
  </si>
  <si>
    <t>p2_81_filtered-train-00075-of-00082_r1190.wav</t>
  </si>
  <si>
    <t>they were at 12 point to about some 24 30 points against the other schools they were optimistic together with their teachers that uh their three</t>
  </si>
  <si>
    <t>p2_56_filtered-train-00039-of-00082_r3061.wav</t>
  </si>
  <si>
    <t>honorable Deputy Minister designate walk us through how did they man what was the filtering mechanism is it all defense attorney petitions if so was it was that an open call so that other defense attorneys in this country can approach</t>
  </si>
  <si>
    <t>p2_72_filtered-train-00053-of-00082_r1761.wav</t>
  </si>
  <si>
    <t>from that point. Do you think this process should continue to be in camera? It should be in closed doors. No, I think it has to be in camera. It has to. Yes, it has to be in camera because you may as the chief justice or a justice of the superior court may as</t>
  </si>
  <si>
    <t>p2_96_filtered-train-00086-of-00082_r1892.wav</t>
  </si>
  <si>
    <t>filtered-train-00086-of-00082.parquet</t>
  </si>
  <si>
    <t>they first one to pick a position in they final ballot  and then the number that you pick in they final balloting that is what determines where your presidential</t>
  </si>
  <si>
    <t>p2_65_filtered-train-00049-of-00082_r2778.wav</t>
  </si>
  <si>
    <t>have to carry the burden to fight all of this. So even before government so when when for example are we going to see somebody put before call to answer for all the crimes that you speak of? No, but you know that the the because without prosecution, without holding</t>
  </si>
  <si>
    <t>p2_03_filtered-train-00034-of-00082_r3261.wav</t>
  </si>
  <si>
    <t>Because if I'm going out to go and elect my leader, I don't want to come back home injured. I don't to a black eye. Absolutely. So some of these things actually paints a picture of where we are with our democracy. It's not just</t>
  </si>
  <si>
    <t>p2_87_filtered-train-00080-of-00082_r46.wav</t>
  </si>
  <si>
    <t>filtered-train-00080-of-00082.parquet</t>
  </si>
  <si>
    <t>they've been that is in India in India in India I don't know how true that is but of course that's what I already which would also impact any uh companies that are hoping to you know do business with them from Ghana but let me quickly</t>
  </si>
  <si>
    <t>p2_00_filtered-train-00034-of-00082_r170.wav</t>
  </si>
  <si>
    <t>comes very professional very relevant and reflective of the security needs of the people in modern Ggovernance and democratic practice uh we continue to see the these elements as part of the</t>
  </si>
  <si>
    <t>p2_06_filtered-train-00039-of-00082_r519.wav</t>
  </si>
  <si>
    <t>an all any appointment or recruit and submit a comprehensive report on the actions taken to this office by 17th February 2025 your cooperation is uh in</t>
  </si>
  <si>
    <t>p2_63_filtered-train-00049-of-00082_r2484.wav</t>
  </si>
  <si>
    <t>his turner information was the flow of information was rather centralized. Things could happen in a district and you go to the district police um officers and they can't tell you anything. you they'll refer you back to</t>
  </si>
  <si>
    <t>p2_73_filtered-train-00053-of-00082_r1767.wav</t>
  </si>
  <si>
    <t>that for a fact because waking up at this time of morning coming here every day if you don't find ways of taking care of yourself saying that I thought he comes around age, he says yeah he was here since 4 o'clock something I said wow I mean</t>
  </si>
  <si>
    <t>p2_92_filtered-train-00080-of-00082_r2379.wav</t>
  </si>
  <si>
    <t>to that you know all in the benefits and the interest of Ghana as a whole. Uh I I think that Trump Trump seems to have a lot of enemies all the time but I'm I'm an admire of Trump. I believe in his</t>
  </si>
  <si>
    <t>p2_02_filtered-train-00034-of-00082_r2901.wav</t>
  </si>
  <si>
    <t>cast um their ballot. And so it has the activities for the day have kicked here in the Aflao constituency and this is one out of the 19 polling stations where</t>
  </si>
  <si>
    <t>p2_52_filtered-train-00039-of-00082_r335.wav</t>
  </si>
  <si>
    <t>have a story another story that contests what you're saying. No, you know, because I remember there was an argument about this, you know, I just want to get the details and this is saying that uh my new policies will help eliminate VAT on electricity. But although I've not</t>
  </si>
  <si>
    <t>p2_04_filtered-train-00034-of-00082_r3958.wav</t>
  </si>
  <si>
    <t>Ghana signed up for this program so we have two as you know we have the quantitative targets so the performance indicator which are often a bit easier because they are very clear and just about statistical manage management and then we have the structural changes</t>
  </si>
  <si>
    <t>p2_88_filtered-train-00080-of-00082_r422.wav</t>
  </si>
  <si>
    <t>Steve and AK all of them joining the conversation while it's two days to elections and the electorate is poised to vote on December the 7th most of them</t>
  </si>
  <si>
    <t>p2_77_filtered-train-00063-of-00082_r2312.wav</t>
  </si>
  <si>
    <t>some also say that listen.every time there are there is a reduction in price of some of these items we never go down  in terms of the fares that isthe concern which is why we are curious to find out whether there are</t>
  </si>
  <si>
    <t>p2_91_filtered-train-00080-of-00082_r2158.wav</t>
  </si>
  <si>
    <t>donation or our doors are opened show up and let's help to build mother  Ghana it is not only the government that can do it we are all part of the government that do it together is the chairperson of the</t>
  </si>
  <si>
    <t>p2_86_filtered-train-00075-of-00082_r3767.wav</t>
  </si>
  <si>
    <t>systems what I'm saying is is the problems that we are facing are Level One problems that could be avoided by just putting in some simple systems the fact is we don't we've not put in place</t>
  </si>
  <si>
    <t>p2_10_filtered-train-00039-of-00082_r2660.wav</t>
  </si>
  <si>
    <t>mention at least from the BOGs part that relevant stakeholders are officially informed about this you must be a relevant stakeholder are you not aware about this particular Arrangement they detect Mischief actually in the publication</t>
  </si>
  <si>
    <t>p2_94_filtered-train-00086-of-00082_r1100.wav</t>
  </si>
  <si>
    <t>after appointment that he was on air. But your comment suggested that he was still on radio as of the time. I want you to find out. You can play my voice. Yeah. You should go and find out. Correct. Why he why he was still on radio? Correct. And I'm saying your</t>
  </si>
  <si>
    <t>p2_85_filtered-train-00075-of-00082_r3368.wav</t>
  </si>
  <si>
    <t>shooting it got to a time they realized that look these people who are still marching on us they are our own relatives and they are also fighting for something we also don't like so the soldiers had to put down their arms and to join the</t>
  </si>
  <si>
    <t>p2_84_filtered-train-00075-of-00082_r2994.wav</t>
  </si>
  <si>
    <t>industries everyone what are we doing now as a country is it because it's an election year we leave people to do what they want then when we get to office it will take us one year again to put ourselves together where will we be as a</t>
  </si>
  <si>
    <t>p2_95_filtered-train-00086-of-00082_r1643.wav</t>
  </si>
  <si>
    <t>just changed him okay the John the one they just change the one who has just been transferred give him me give me his name you know Arch bossishop</t>
  </si>
  <si>
    <t>p2_05_filtered-train-00034-of-00082_r4001.wav</t>
  </si>
  <si>
    <t>recovering, we are recovering. The Ghanaian say, you know, these are new strategy to make Ghana an oil hub. They've talk t through it.  they know the trade-offs and they've really going to make Ghana an oil gas up. Not say one thing and then 20 years later you forgot about what you said 10 years ago. You see what I mean? And that is a challenge. Mr.</t>
  </si>
  <si>
    <t>p2_69_filtered-train-00053-of-00082_r1085.wav</t>
  </si>
  <si>
    <t xml:space="preserve">11.63% 63% and dropped to 10.35% and has been stable operating around 10.35 10.25 and ending around 10.3% as at early hours of </t>
  </si>
  <si>
    <t>p2_97_filtered-train-00086-of-00082_r2425.wav</t>
  </si>
  <si>
    <t>of course I'll urge you to be interactive as we deliberate on a very important matter this afternoon you here on the pause of course it's fire so we'll start from the from Parliament the minority in Parliament is challenging government to adopt the MPP special</t>
  </si>
  <si>
    <t>p2_01_filtered-train-00034-of-00082_r1933.wav</t>
  </si>
  <si>
    <t>interesting about this is that I have been watching of the blogs in in Morocco the conversations which were being portrayed is that it's the new president who has done these acts and not the old one so somehow I don't think that this is um and and I think even I had a</t>
  </si>
  <si>
    <t>p2_78_filtered-train-00063-of-00082_r2399.wav</t>
  </si>
  <si>
    <t>here with me Musah Abdul but as I mentioned before the start of this conversation Prime take with Dr Austin Lugatha will come your way on Saturday which is tomorrow</t>
  </si>
  <si>
    <t>p2_83_filtered-train-00075-of-00082_r2874.wav</t>
  </si>
  <si>
    <t>independent fearless and credible journalism for our big stories this morning we take a look at Ghana's extractive industry and the dominance of foreigners and how it has impacted our ability to maximize these resources and how the manifestos of the two major</t>
  </si>
  <si>
    <t>p2_61_filtered-train-00049-of-00082_r1455.wav</t>
  </si>
  <si>
    <t>payment of about 15 million Ghana cedis which um we would be working with but again I just want to stress that this is not adequate for the kind of job that we</t>
  </si>
  <si>
    <t>p2_60_filtered-train-00049-of-00082_r1223.wav</t>
  </si>
  <si>
    <t>commission to disqualify them the focus now is going to be on the burial and hopefully to rebuild the party after the funeral okay um let's even stay on the fact that the political parties that were present they've been concerns of if</t>
  </si>
  <si>
    <t>p2_67_filtered-train-00053-of-00082_r270.wav</t>
  </si>
  <si>
    <t>demonstration was saying that do not intimidate us. Tell us how many people apart from Wontumi and Abronye who had a little situation. Who else? Who else as in what? Who else is it that has not been taken</t>
  </si>
  <si>
    <t>p2_93_filtered-train-00086-of-00082_r937.wav</t>
  </si>
  <si>
    <t>Kumapim Royals at the time and all of that but beyond that were there any you know Ghanaian established Ghanian footballers at the time who probably were playing for the national team that you looked forward you looked up to really when I was living Ghana I didn't know about the soccer players I I knew</t>
  </si>
  <si>
    <t>p2_75_filtered-train-00063-of-00082_r333.wav</t>
  </si>
  <si>
    <t>the ECG that's a lot of money looking at the IMF situation then you're talking about recruitment of quite a lot into the public seector uh that creates direct fiscal impact and that's what people are talking about yes it does create direct</t>
  </si>
  <si>
    <t>p2_76_filtered-train-00063-of-00082_r658.wav</t>
  </si>
  <si>
    <t>make sure the pl them a script he has to your on your point certainly coming from a mining Community where Dr B is</t>
  </si>
  <si>
    <t>p2_98_filtered-train-00086-of-00082_r2843.wav</t>
  </si>
  <si>
    <t>chain but politics doesn't allow us to treat power sector as business and we keep accumulating this debt and we are sacrificing our development actually for the power sector why are we having this Revenue challenge because some would say</t>
  </si>
  <si>
    <t>p2_80_filtered-train-00063-of-00082_r2672.wav</t>
  </si>
  <si>
    <t>negotiation. That is it. So of course if there is any truth to that matter I'm sure there will be some form even did take um I don't think I don't think I don't say it's a strong case to pursue.</t>
  </si>
  <si>
    <t>p2_53_filtered-train-00039-of-00082_r492.wav</t>
  </si>
  <si>
    <t>then we can solve some of some of our and all of that. Okay. All right. Uh we need to bounce off now but I'll give you your last words. Well, I think that um we myself and um Kuka, we have a lot of</t>
  </si>
  <si>
    <t>p2_74_filtered-train-00053-of-00082_r1783.wav</t>
  </si>
  <si>
    <t>at it in entirety I can pick it up say I can also pick it up from my phone you should look at it in entirety preceding this MP's Administration the past npp administration there were actually just double digits and</t>
  </si>
  <si>
    <t>p2_89_filtered-train-00080-of-00082_r749.wav</t>
  </si>
  <si>
    <t>a football match between hearts and  Kotoko and hearts will get to the field the referee is there and he say oh Kotoko didn't come so he has blown the whistle and they played the match and they have ended what kind of match is that well so let's</t>
  </si>
  <si>
    <t>p2_90_filtered-train-00080-of-00082_r1964.wav</t>
  </si>
  <si>
    <t>That's another problem, isn't it? That's a huge problem. Institutional memory and all that. Yes. And for those of us who have been working on the galamsey and on terrorism and violent extremism and small arms,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</si>
</sst>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b/>
      <sz val="11"/>
      <name val="Calibri"/>
      <charset val="134"/>
      <scheme val="minor"/>
    </font>
    <font>
      <b/>
      <sz val="11"/>
      <color rgb="FFDCE3EC"/>
      <name val="Calibri"/>
      <charset val="134"/>
      <scheme val="minor"/>
    </font>
    <font>
      <u/>
      <sz val="11"/>
      <color rgb="FF0563C1"/>
      <name val="Calibri"/>
      <charset val="134"/>
      <scheme val="minor"/>
    </font>
    <font>
      <b/>
      <sz val="11"/>
      <color rgb="FFB02418"/>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2C343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6">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0" fillId="0" borderId="0" xfId="0"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
    <dxf>
      <fill>
        <patternFill patternType="solid">
          <fgColor rgb="FFC6EFCE"/>
        </patternFill>
      </fill>
    </dxf>
    <dxf>
      <fill>
        <patternFill patternType="solid">
          <fgColor rgb="FFFFEB9C"/>
        </patternFill>
      </fill>
    </dxf>
    <dxf>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hyperlink" Target="..\data\samples_pass2\p2_51_filtered-train-00039-of-00082_r0.wav" TargetMode="External"/><Relationship Id="rId8" Type="http://schemas.openxmlformats.org/officeDocument/2006/relationships/hyperlink" Target="..\data\samples_pass2\p2_71_filtered-train-00053-of-00082_r1518.wav" TargetMode="External"/><Relationship Id="rId7" Type="http://schemas.openxmlformats.org/officeDocument/2006/relationships/hyperlink" Target="..\data\samples_pass2\p2_48_filtered-train-00034-of-00082_r1998.wav" TargetMode="External"/><Relationship Id="rId60" Type="http://schemas.openxmlformats.org/officeDocument/2006/relationships/hyperlink" Target="..\data\samples_pass2\p2_90_filtered-train-00080-of-00082_r1964.wav" TargetMode="External"/><Relationship Id="rId6" Type="http://schemas.openxmlformats.org/officeDocument/2006/relationships/hyperlink" Target="..\data\samples_pass2\p2_62_filtered-train-00049-of-00082_r1642.wav" TargetMode="External"/><Relationship Id="rId59" Type="http://schemas.openxmlformats.org/officeDocument/2006/relationships/hyperlink" Target="..\data\samples_pass2\p2_89_filtered-train-00080-of-00082_r749.wav" TargetMode="External"/><Relationship Id="rId58" Type="http://schemas.openxmlformats.org/officeDocument/2006/relationships/hyperlink" Target="..\data\samples_pass2\p2_74_filtered-train-00053-of-00082_r1783.wav" TargetMode="External"/><Relationship Id="rId57" Type="http://schemas.openxmlformats.org/officeDocument/2006/relationships/hyperlink" Target="..\data\samples_pass2\p2_53_filtered-train-00039-of-00082_r492.wav" TargetMode="External"/><Relationship Id="rId56" Type="http://schemas.openxmlformats.org/officeDocument/2006/relationships/hyperlink" Target="..\data\samples_pass2\p2_80_filtered-train-00063-of-00082_r2672.wav" TargetMode="External"/><Relationship Id="rId55" Type="http://schemas.openxmlformats.org/officeDocument/2006/relationships/hyperlink" Target="..\data\samples_pass2\p2_98_filtered-train-00086-of-00082_r2843.wav" TargetMode="External"/><Relationship Id="rId54" Type="http://schemas.openxmlformats.org/officeDocument/2006/relationships/hyperlink" Target="..\data\samples_pass2\p2_76_filtered-train-00063-of-00082_r658.wav" TargetMode="External"/><Relationship Id="rId53" Type="http://schemas.openxmlformats.org/officeDocument/2006/relationships/hyperlink" Target="..\data\samples_pass2\p2_75_filtered-train-00063-of-00082_r333.wav" TargetMode="External"/><Relationship Id="rId52" Type="http://schemas.openxmlformats.org/officeDocument/2006/relationships/hyperlink" Target="..\data\samples_pass2\p2_93_filtered-train-00086-of-00082_r937.wav" TargetMode="External"/><Relationship Id="rId51" Type="http://schemas.openxmlformats.org/officeDocument/2006/relationships/hyperlink" Target="..\data\samples_pass2\p2_67_filtered-train-00053-of-00082_r270.wav" TargetMode="External"/><Relationship Id="rId50" Type="http://schemas.openxmlformats.org/officeDocument/2006/relationships/hyperlink" Target="..\data\samples_pass2\p2_60_filtered-train-00049-of-00082_r1223.wav" TargetMode="External"/><Relationship Id="rId5" Type="http://schemas.openxmlformats.org/officeDocument/2006/relationships/hyperlink" Target="..\data\samples_pass2\p2_70_filtered-train-00053-of-00082_r1087.wav" TargetMode="External"/><Relationship Id="rId49" Type="http://schemas.openxmlformats.org/officeDocument/2006/relationships/hyperlink" Target="..\data\samples_pass2\p2_61_filtered-train-00049-of-00082_r1455.wav" TargetMode="External"/><Relationship Id="rId48" Type="http://schemas.openxmlformats.org/officeDocument/2006/relationships/hyperlink" Target="..\data\samples_pass2\p2_83_filtered-train-00075-of-00082_r2874.wav" TargetMode="External"/><Relationship Id="rId47" Type="http://schemas.openxmlformats.org/officeDocument/2006/relationships/hyperlink" Target="..\data\samples_pass2\p2_78_filtered-train-00063-of-00082_r2399.wav" TargetMode="External"/><Relationship Id="rId46" Type="http://schemas.openxmlformats.org/officeDocument/2006/relationships/hyperlink" Target="..\data\samples_pass2\p2_01_filtered-train-00034-of-00082_r1933.wav" TargetMode="External"/><Relationship Id="rId45" Type="http://schemas.openxmlformats.org/officeDocument/2006/relationships/hyperlink" Target="..\data\samples_pass2\p2_97_filtered-train-00086-of-00082_r2425.wav" TargetMode="External"/><Relationship Id="rId44" Type="http://schemas.openxmlformats.org/officeDocument/2006/relationships/hyperlink" Target="..\data\samples_pass2\p2_69_filtered-train-00053-of-00082_r1085.wav" TargetMode="External"/><Relationship Id="rId43" Type="http://schemas.openxmlformats.org/officeDocument/2006/relationships/hyperlink" Target="..\data\samples_pass2\p2_05_filtered-train-00034-of-00082_r4001.wav" TargetMode="External"/><Relationship Id="rId42" Type="http://schemas.openxmlformats.org/officeDocument/2006/relationships/hyperlink" Target="..\data\samples_pass2\p2_95_filtered-train-00086-of-00082_r1643.wav" TargetMode="External"/><Relationship Id="rId41" Type="http://schemas.openxmlformats.org/officeDocument/2006/relationships/hyperlink" Target="..\data\samples_pass2\p2_84_filtered-train-00075-of-00082_r2994.wav" TargetMode="External"/><Relationship Id="rId40" Type="http://schemas.openxmlformats.org/officeDocument/2006/relationships/hyperlink" Target="..\data\samples_pass2\p2_85_filtered-train-00075-of-00082_r3368.wav" TargetMode="External"/><Relationship Id="rId4" Type="http://schemas.openxmlformats.org/officeDocument/2006/relationships/hyperlink" Target="..\data\samples_pass2\p2_54_filtered-train-00039-of-00082_r587.wav" TargetMode="External"/><Relationship Id="rId39" Type="http://schemas.openxmlformats.org/officeDocument/2006/relationships/hyperlink" Target="..\data\samples_pass2\p2_94_filtered-train-00086-of-00082_r1100.wav" TargetMode="External"/><Relationship Id="rId38" Type="http://schemas.openxmlformats.org/officeDocument/2006/relationships/hyperlink" Target="..\data\samples_pass2\p2_10_filtered-train-00039-of-00082_r2660.wav" TargetMode="External"/><Relationship Id="rId37" Type="http://schemas.openxmlformats.org/officeDocument/2006/relationships/hyperlink" Target="..\data\samples_pass2\p2_86_filtered-train-00075-of-00082_r3767.wav" TargetMode="External"/><Relationship Id="rId36" Type="http://schemas.openxmlformats.org/officeDocument/2006/relationships/hyperlink" Target="..\data\samples_pass2\p2_91_filtered-train-00080-of-00082_r2158.wav" TargetMode="External"/><Relationship Id="rId35" Type="http://schemas.openxmlformats.org/officeDocument/2006/relationships/hyperlink" Target="..\data\samples_pass2\p2_77_filtered-train-00063-of-00082_r2312.wav" TargetMode="External"/><Relationship Id="rId34" Type="http://schemas.openxmlformats.org/officeDocument/2006/relationships/hyperlink" Target="..\data\samples_pass2\p2_88_filtered-train-00080-of-00082_r422.wav" TargetMode="External"/><Relationship Id="rId33" Type="http://schemas.openxmlformats.org/officeDocument/2006/relationships/hyperlink" Target="..\data\samples_pass2\p2_04_filtered-train-00034-of-00082_r3958.wav" TargetMode="External"/><Relationship Id="rId32" Type="http://schemas.openxmlformats.org/officeDocument/2006/relationships/hyperlink" Target="..\data\samples_pass2\p2_52_filtered-train-00039-of-00082_r335.wav" TargetMode="External"/><Relationship Id="rId31" Type="http://schemas.openxmlformats.org/officeDocument/2006/relationships/hyperlink" Target="..\data\samples_pass2\p2_02_filtered-train-00034-of-00082_r2901.wav" TargetMode="External"/><Relationship Id="rId30" Type="http://schemas.openxmlformats.org/officeDocument/2006/relationships/hyperlink" Target="..\data\samples_pass2\p2_92_filtered-train-00080-of-00082_r2379.wav" TargetMode="External"/><Relationship Id="rId3" Type="http://schemas.openxmlformats.org/officeDocument/2006/relationships/hyperlink" Target="..\data\samples_pass2\p2_59_filtered-train-00049-of-00082_r1137.wav" TargetMode="External"/><Relationship Id="rId29" Type="http://schemas.openxmlformats.org/officeDocument/2006/relationships/hyperlink" Target="..\data\samples_pass2\p2_73_filtered-train-00053-of-00082_r1767.wav" TargetMode="External"/><Relationship Id="rId28" Type="http://schemas.openxmlformats.org/officeDocument/2006/relationships/hyperlink" Target="..\data\samples_pass2\p2_63_filtered-train-00049-of-00082_r2484.wav" TargetMode="External"/><Relationship Id="rId27" Type="http://schemas.openxmlformats.org/officeDocument/2006/relationships/hyperlink" Target="..\data\samples_pass2\p2_06_filtered-train-00039-of-00082_r519.wav" TargetMode="External"/><Relationship Id="rId26" Type="http://schemas.openxmlformats.org/officeDocument/2006/relationships/hyperlink" Target="..\data\samples_pass2\p2_00_filtered-train-00034-of-00082_r170.wav" TargetMode="External"/><Relationship Id="rId25" Type="http://schemas.openxmlformats.org/officeDocument/2006/relationships/hyperlink" Target="..\data\samples_pass2\p2_87_filtered-train-00080-of-00082_r46.wav" TargetMode="External"/><Relationship Id="rId24" Type="http://schemas.openxmlformats.org/officeDocument/2006/relationships/hyperlink" Target="..\data\samples_pass2\p2_03_filtered-train-00034-of-00082_r3261.wav" TargetMode="External"/><Relationship Id="rId23" Type="http://schemas.openxmlformats.org/officeDocument/2006/relationships/hyperlink" Target="..\data\samples_pass2\p2_65_filtered-train-00049-of-00082_r2778.wav" TargetMode="External"/><Relationship Id="rId22" Type="http://schemas.openxmlformats.org/officeDocument/2006/relationships/hyperlink" Target="..\data\samples_pass2\p2_96_filtered-train-00086-of-00082_r1892.wav" TargetMode="External"/><Relationship Id="rId21" Type="http://schemas.openxmlformats.org/officeDocument/2006/relationships/hyperlink" Target="..\data\samples_pass2\p2_72_filtered-train-00053-of-00082_r1761.wav" TargetMode="External"/><Relationship Id="rId20" Type="http://schemas.openxmlformats.org/officeDocument/2006/relationships/hyperlink" Target="..\data\samples_pass2\p2_56_filtered-train-00039-of-00082_r3061.wav" TargetMode="External"/><Relationship Id="rId2" Type="http://schemas.openxmlformats.org/officeDocument/2006/relationships/hyperlink" Target="..\data\samples_pass2\p2_66_filtered-train-00053-of-00082_r152.wav" TargetMode="External"/><Relationship Id="rId19" Type="http://schemas.openxmlformats.org/officeDocument/2006/relationships/hyperlink" Target="..\data\samples_pass2\p2_81_filtered-train-00075-of-00082_r1190.wav" TargetMode="External"/><Relationship Id="rId18" Type="http://schemas.openxmlformats.org/officeDocument/2006/relationships/hyperlink" Target="..\data\samples_pass2\p2_64_filtered-train-00049-of-00082_r2517.wav" TargetMode="External"/><Relationship Id="rId17" Type="http://schemas.openxmlformats.org/officeDocument/2006/relationships/hyperlink" Target="..\data\samples_pass2\p2_82_filtered-train-00075-of-00082_r2388.wav" TargetMode="External"/><Relationship Id="rId16" Type="http://schemas.openxmlformats.org/officeDocument/2006/relationships/hyperlink" Target="..\data\samples_pass2\p2_68_filtered-train-00053-of-00082_r889.wav" TargetMode="External"/><Relationship Id="rId15" Type="http://schemas.openxmlformats.org/officeDocument/2006/relationships/hyperlink" Target="..\data\samples_pass2\p2_58_filtered-train-00049-of-00082_r1136.wav" TargetMode="External"/><Relationship Id="rId14" Type="http://schemas.openxmlformats.org/officeDocument/2006/relationships/hyperlink" Target="..\data\samples_pass2\p2_07_filtered-train-00039-of-00082_r1252.wav" TargetMode="External"/><Relationship Id="rId13" Type="http://schemas.openxmlformats.org/officeDocument/2006/relationships/hyperlink" Target="..\data\samples_pass2\p2_79_filtered-train-00063-of-00082_r2529.wav" TargetMode="External"/><Relationship Id="rId12" Type="http://schemas.openxmlformats.org/officeDocument/2006/relationships/hyperlink" Target="..\data\samples_pass2\p2_55_filtered-train-00039-of-00082_r1773.wav" TargetMode="External"/><Relationship Id="rId11" Type="http://schemas.openxmlformats.org/officeDocument/2006/relationships/hyperlink" Target="..\data\samples_pass2\p2_57_filtered-train-00049-of-00082_r601.wav" TargetMode="External"/><Relationship Id="rId10" Type="http://schemas.openxmlformats.org/officeDocument/2006/relationships/hyperlink" Target="..\data\samples_pass2\p2_50_filtered-train-00034-of-00082_r3307.wav" TargetMode="External"/><Relationship Id="rId1" Type="http://schemas.openxmlformats.org/officeDocument/2006/relationships/hyperlink" Target="..\data\samples_pass2\p2_49_filtered-train-00034-of-00082_r2964.wav"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4"/>
  <sheetViews>
    <sheetView topLeftCell="A4" workbookViewId="0">
      <selection activeCell="A1" sqref="A1"/>
    </sheetView>
  </sheetViews>
  <sheetFormatPr defaultColWidth="9" defaultRowHeight="14.4"/>
  <cols>
    <col min="1" max="1" width="100" customWidth="1"/>
  </cols>
  <sheetData>
    <row r="1" spans="1:1">
      <c r="A1" s="1" t="s">
        <v>0</v>
      </c>
    </row>
    <row r="2" spans="1:1">
      <c r="A2" s="1"/>
    </row>
    <row r="3" spans="1:1">
      <c r="A3" t="s">
        <v>1</v>
      </c>
    </row>
    <row r="4" spans="1:1">
      <c r="A4" s="1" t="s">
        <v>2</v>
      </c>
    </row>
    <row r="5" spans="1:1">
      <c r="A5" s="1" t="s">
        <v>3</v>
      </c>
    </row>
    <row r="6" spans="1:1">
      <c r="A6" s="1" t="s">
        <v>4</v>
      </c>
    </row>
    <row r="7" spans="1:1">
      <c r="A7" t="s">
        <v>1</v>
      </c>
    </row>
    <row r="8" spans="1:1">
      <c r="A8" s="1" t="s">
        <v>5</v>
      </c>
    </row>
    <row r="9" spans="1:1">
      <c r="A9" s="1" t="s">
        <v>6</v>
      </c>
    </row>
    <row r="10" spans="1:1">
      <c r="A10" s="1" t="s">
        <v>7</v>
      </c>
    </row>
    <row r="11" spans="1:1">
      <c r="A11" s="1" t="s">
        <v>8</v>
      </c>
    </row>
    <row r="12" spans="1:1">
      <c r="A12" t="s">
        <v>1</v>
      </c>
    </row>
    <row r="13" spans="1:1">
      <c r="A13" t="s">
        <v>9</v>
      </c>
    </row>
    <row r="14" spans="1:1">
      <c r="A14" t="s">
        <v>10</v>
      </c>
    </row>
    <row r="15" spans="1:1">
      <c r="A15" t="s">
        <v>1</v>
      </c>
    </row>
    <row r="16" spans="1:1">
      <c r="A16" s="1" t="s">
        <v>11</v>
      </c>
    </row>
    <row r="17" spans="1:1">
      <c r="A17" s="1" t="s">
        <v>12</v>
      </c>
    </row>
    <row r="18" spans="1:1">
      <c r="A18" s="1" t="s">
        <v>13</v>
      </c>
    </row>
    <row r="19" spans="1:1">
      <c r="A19" s="1" t="s">
        <v>14</v>
      </c>
    </row>
    <row r="20" spans="1:1">
      <c r="A20" s="1" t="s">
        <v>15</v>
      </c>
    </row>
    <row r="21" spans="1:1">
      <c r="A21" t="s">
        <v>1</v>
      </c>
    </row>
    <row r="22" spans="1:1">
      <c r="A22" s="1" t="s">
        <v>16</v>
      </c>
    </row>
    <row r="23" spans="1:1">
      <c r="A23" s="1" t="s">
        <v>17</v>
      </c>
    </row>
    <row r="24" spans="1:1">
      <c r="A24" s="1" t="s">
        <v>18</v>
      </c>
    </row>
    <row r="25" spans="1:1">
      <c r="A25" s="1" t="s">
        <v>19</v>
      </c>
    </row>
    <row r="26" spans="1:1">
      <c r="A26" t="s">
        <v>20</v>
      </c>
    </row>
    <row r="27" spans="1:1">
      <c r="A27" t="s">
        <v>1</v>
      </c>
    </row>
    <row r="28" spans="1:1">
      <c r="A28" s="1" t="s">
        <v>21</v>
      </c>
    </row>
    <row r="29" spans="1:1">
      <c r="A29" s="1" t="s">
        <v>22</v>
      </c>
    </row>
    <row r="30" spans="1:1">
      <c r="A30" s="1" t="s">
        <v>23</v>
      </c>
    </row>
    <row r="31" spans="1:1">
      <c r="A31" s="1" t="s">
        <v>24</v>
      </c>
    </row>
    <row r="32" spans="1:1">
      <c r="A32" t="s">
        <v>1</v>
      </c>
    </row>
    <row r="33" spans="1:1">
      <c r="A33" s="1" t="s">
        <v>25</v>
      </c>
    </row>
    <row r="34" spans="1:1">
      <c r="A34" s="1" t="s">
        <v>26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1"/>
  <sheetViews>
    <sheetView tabSelected="1" zoomScale="69" zoomScaleNormal="69" workbookViewId="0">
      <pane ySplit="1" topLeftCell="A45" activePane="bottomLeft" state="frozen"/>
      <selection/>
      <selection pane="bottomLeft" activeCell="H59" sqref="H59"/>
    </sheetView>
  </sheetViews>
  <sheetFormatPr defaultColWidth="9" defaultRowHeight="14.4"/>
  <cols>
    <col min="1" max="1" width="12" customWidth="1"/>
    <col min="2" max="2" width="48" customWidth="1"/>
    <col min="3" max="3" width="34" customWidth="1"/>
    <col min="4" max="4" width="11" customWidth="1"/>
    <col min="5" max="5" width="16" customWidth="1"/>
    <col min="6" max="6" width="90" customWidth="1"/>
    <col min="7" max="7" width="13" customWidth="1"/>
    <col min="8" max="8" width="22" customWidth="1"/>
    <col min="9" max="9" width="40" customWidth="1"/>
  </cols>
  <sheetData>
    <row r="1" spans="1:9">
      <c r="A1" s="2" t="s">
        <v>27</v>
      </c>
      <c r="B1" s="2" t="s">
        <v>28</v>
      </c>
      <c r="C1" s="2" t="s">
        <v>29</v>
      </c>
      <c r="D1" s="2" t="s">
        <v>30</v>
      </c>
      <c r="E1" s="2" t="s">
        <v>31</v>
      </c>
      <c r="F1" s="2" t="s">
        <v>32</v>
      </c>
      <c r="G1" s="2" t="s">
        <v>33</v>
      </c>
      <c r="H1" s="2" t="s">
        <v>34</v>
      </c>
      <c r="I1" s="2" t="s">
        <v>35</v>
      </c>
    </row>
    <row r="2" ht="43.2" spans="1:9">
      <c r="A2">
        <v>1</v>
      </c>
      <c r="B2" s="3" t="s">
        <v>36</v>
      </c>
      <c r="C2" t="s">
        <v>37</v>
      </c>
      <c r="D2">
        <v>14.960000038147</v>
      </c>
      <c r="E2" s="4" t="s">
        <v>38</v>
      </c>
      <c r="F2" s="5" t="s">
        <v>39</v>
      </c>
      <c r="G2" t="s">
        <v>40</v>
      </c>
    </row>
    <row r="3" ht="43.2" spans="1:9">
      <c r="A3">
        <v>2</v>
      </c>
      <c r="B3" s="3" t="s">
        <v>41</v>
      </c>
      <c r="C3" t="s">
        <v>42</v>
      </c>
      <c r="D3">
        <v>14.960000038147</v>
      </c>
      <c r="E3" s="4" t="s">
        <v>38</v>
      </c>
      <c r="F3" s="5" t="s">
        <v>43</v>
      </c>
      <c r="G3" t="s">
        <v>44</v>
      </c>
    </row>
    <row r="4" ht="43.2" spans="1:9">
      <c r="A4">
        <v>3</v>
      </c>
      <c r="B4" s="3" t="s">
        <v>45</v>
      </c>
      <c r="C4" t="s">
        <v>46</v>
      </c>
      <c r="D4">
        <v>14.960000038147</v>
      </c>
      <c r="E4" s="4" t="s">
        <v>38</v>
      </c>
      <c r="F4" s="5" t="s">
        <v>47</v>
      </c>
      <c r="G4" t="s">
        <v>44</v>
      </c>
    </row>
    <row r="5" ht="28.8" spans="1:9">
      <c r="A5">
        <v>4</v>
      </c>
      <c r="B5" s="3" t="s">
        <v>48</v>
      </c>
      <c r="C5" t="s">
        <v>49</v>
      </c>
      <c r="D5">
        <v>14.960000038147</v>
      </c>
      <c r="E5" s="4" t="s">
        <v>38</v>
      </c>
      <c r="F5" s="5" t="s">
        <v>50</v>
      </c>
      <c r="G5" t="s">
        <v>44</v>
      </c>
    </row>
    <row r="6" ht="28.8" spans="1:9">
      <c r="A6">
        <v>5</v>
      </c>
      <c r="B6" s="3" t="s">
        <v>51</v>
      </c>
      <c r="C6" t="s">
        <v>42</v>
      </c>
      <c r="D6">
        <v>14.960000038147</v>
      </c>
      <c r="E6" s="4" t="s">
        <v>38</v>
      </c>
      <c r="F6" s="5" t="s">
        <v>52</v>
      </c>
      <c r="G6" t="s">
        <v>44</v>
      </c>
    </row>
    <row r="7" ht="43.2" spans="1:9">
      <c r="A7">
        <v>6</v>
      </c>
      <c r="B7" s="3" t="s">
        <v>53</v>
      </c>
      <c r="C7" t="s">
        <v>46</v>
      </c>
      <c r="D7">
        <v>14.960000038147</v>
      </c>
      <c r="E7" s="4" t="s">
        <v>38</v>
      </c>
      <c r="F7" s="5" t="s">
        <v>54</v>
      </c>
      <c r="G7" t="s">
        <v>44</v>
      </c>
    </row>
    <row r="8" ht="43.2" spans="1:9">
      <c r="A8">
        <v>7</v>
      </c>
      <c r="B8" s="3" t="s">
        <v>55</v>
      </c>
      <c r="C8" t="s">
        <v>37</v>
      </c>
      <c r="D8">
        <v>14.9200000762939</v>
      </c>
      <c r="E8" s="4" t="s">
        <v>38</v>
      </c>
      <c r="F8" s="5" t="s">
        <v>56</v>
      </c>
      <c r="G8" t="s">
        <v>44</v>
      </c>
    </row>
    <row r="9" ht="43.2" spans="1:9">
      <c r="A9">
        <v>8</v>
      </c>
      <c r="B9" s="3" t="s">
        <v>57</v>
      </c>
      <c r="C9" t="s">
        <v>42</v>
      </c>
      <c r="D9">
        <v>14.9200000762939</v>
      </c>
      <c r="E9" s="4" t="s">
        <v>38</v>
      </c>
      <c r="F9" s="5" t="s">
        <v>58</v>
      </c>
      <c r="G9" t="s">
        <v>44</v>
      </c>
    </row>
    <row r="10" ht="43.2" spans="1:9">
      <c r="A10">
        <v>9</v>
      </c>
      <c r="B10" s="3" t="s">
        <v>59</v>
      </c>
      <c r="C10" t="s">
        <v>49</v>
      </c>
      <c r="D10">
        <v>14.8800001144409</v>
      </c>
      <c r="E10" s="4" t="s">
        <v>38</v>
      </c>
      <c r="F10" s="5" t="s">
        <v>60</v>
      </c>
      <c r="G10" t="s">
        <v>44</v>
      </c>
    </row>
    <row r="11" ht="43.2" spans="1:9">
      <c r="A11">
        <v>10</v>
      </c>
      <c r="B11" s="3" t="s">
        <v>61</v>
      </c>
      <c r="C11" t="s">
        <v>37</v>
      </c>
      <c r="D11">
        <v>14.8000001907349</v>
      </c>
      <c r="E11" s="4" t="s">
        <v>38</v>
      </c>
      <c r="F11" s="5" t="s">
        <v>62</v>
      </c>
      <c r="G11" t="s">
        <v>63</v>
      </c>
    </row>
    <row r="12" ht="43.2" spans="1:9">
      <c r="A12">
        <v>11</v>
      </c>
      <c r="B12" s="3" t="s">
        <v>64</v>
      </c>
      <c r="C12" t="s">
        <v>46</v>
      </c>
      <c r="D12">
        <v>14.8000001907349</v>
      </c>
      <c r="E12" s="4" t="s">
        <v>38</v>
      </c>
      <c r="F12" s="5" t="s">
        <v>65</v>
      </c>
      <c r="G12" t="s">
        <v>44</v>
      </c>
    </row>
    <row r="13" spans="1:9">
      <c r="A13">
        <v>12</v>
      </c>
      <c r="B13" s="3" t="s">
        <v>66</v>
      </c>
      <c r="C13" t="s">
        <v>49</v>
      </c>
      <c r="D13">
        <v>14.8000001907349</v>
      </c>
      <c r="E13" s="4" t="s">
        <v>38</v>
      </c>
      <c r="F13" s="5" t="s">
        <v>67</v>
      </c>
      <c r="G13" t="s">
        <v>40</v>
      </c>
    </row>
    <row r="14" ht="28.8" spans="1:9">
      <c r="A14">
        <v>13</v>
      </c>
      <c r="B14" s="3" t="s">
        <v>68</v>
      </c>
      <c r="C14" t="s">
        <v>69</v>
      </c>
      <c r="D14">
        <v>13.039999961853</v>
      </c>
      <c r="E14" t="s">
        <v>70</v>
      </c>
      <c r="F14" s="5" t="s">
        <v>71</v>
      </c>
      <c r="G14" t="s">
        <v>44</v>
      </c>
    </row>
    <row r="15" ht="28.8" spans="1:9">
      <c r="A15">
        <v>14</v>
      </c>
      <c r="B15" s="3" t="s">
        <v>72</v>
      </c>
      <c r="C15" t="s">
        <v>49</v>
      </c>
      <c r="D15">
        <v>14.3599996566772</v>
      </c>
      <c r="E15" t="s">
        <v>70</v>
      </c>
      <c r="F15" s="5" t="s">
        <v>73</v>
      </c>
      <c r="G15" t="s">
        <v>44</v>
      </c>
    </row>
    <row r="16" ht="43.2" spans="1:9">
      <c r="A16">
        <v>15</v>
      </c>
      <c r="B16" s="3" t="s">
        <v>74</v>
      </c>
      <c r="C16" t="s">
        <v>46</v>
      </c>
      <c r="D16">
        <v>14.4799995422363</v>
      </c>
      <c r="E16" t="s">
        <v>70</v>
      </c>
      <c r="F16" s="5" t="s">
        <v>75</v>
      </c>
      <c r="G16" t="s">
        <v>44</v>
      </c>
    </row>
    <row r="17" ht="28.8" spans="1:7">
      <c r="A17">
        <v>16</v>
      </c>
      <c r="B17" s="3" t="s">
        <v>76</v>
      </c>
      <c r="C17" t="s">
        <v>42</v>
      </c>
      <c r="D17">
        <v>12.3599996566772</v>
      </c>
      <c r="E17" t="s">
        <v>70</v>
      </c>
      <c r="F17" s="5" t="s">
        <v>77</v>
      </c>
      <c r="G17" t="s">
        <v>44</v>
      </c>
    </row>
    <row r="18" ht="43.2" spans="1:7">
      <c r="A18">
        <v>17</v>
      </c>
      <c r="B18" s="3" t="s">
        <v>78</v>
      </c>
      <c r="C18" t="s">
        <v>79</v>
      </c>
      <c r="D18">
        <v>14</v>
      </c>
      <c r="E18" t="s">
        <v>70</v>
      </c>
      <c r="F18" s="5" t="s">
        <v>80</v>
      </c>
      <c r="G18" t="s">
        <v>40</v>
      </c>
    </row>
    <row r="19" ht="43.2" spans="1:7">
      <c r="A19">
        <v>18</v>
      </c>
      <c r="B19" s="3" t="s">
        <v>81</v>
      </c>
      <c r="C19" t="s">
        <v>46</v>
      </c>
      <c r="D19">
        <v>14.8800001144409</v>
      </c>
      <c r="E19" t="s">
        <v>70</v>
      </c>
      <c r="F19" s="5" t="s">
        <v>82</v>
      </c>
      <c r="G19" t="s">
        <v>44</v>
      </c>
    </row>
    <row r="20" ht="28.8" spans="1:7">
      <c r="A20">
        <v>19</v>
      </c>
      <c r="B20" s="3" t="s">
        <v>83</v>
      </c>
      <c r="C20" t="s">
        <v>79</v>
      </c>
      <c r="D20">
        <v>12.1199998855591</v>
      </c>
      <c r="E20" t="s">
        <v>70</v>
      </c>
      <c r="F20" s="5" t="s">
        <v>84</v>
      </c>
      <c r="G20" t="s">
        <v>44</v>
      </c>
    </row>
    <row r="21" ht="43.2" spans="1:7">
      <c r="A21">
        <v>20</v>
      </c>
      <c r="B21" s="3" t="s">
        <v>85</v>
      </c>
      <c r="C21" t="s">
        <v>49</v>
      </c>
      <c r="D21">
        <v>13.1199998855591</v>
      </c>
      <c r="E21" t="s">
        <v>70</v>
      </c>
      <c r="F21" s="5" t="s">
        <v>86</v>
      </c>
      <c r="G21" t="s">
        <v>44</v>
      </c>
    </row>
    <row r="22" ht="43.2" spans="1:7">
      <c r="A22">
        <v>21</v>
      </c>
      <c r="B22" s="3" t="s">
        <v>87</v>
      </c>
      <c r="C22" t="s">
        <v>42</v>
      </c>
      <c r="D22">
        <v>14.6400003433228</v>
      </c>
      <c r="E22" t="s">
        <v>70</v>
      </c>
      <c r="F22" s="5" t="s">
        <v>88</v>
      </c>
      <c r="G22" t="s">
        <v>44</v>
      </c>
    </row>
    <row r="23" ht="28.8" spans="1:7">
      <c r="A23">
        <v>22</v>
      </c>
      <c r="B23" s="3" t="s">
        <v>89</v>
      </c>
      <c r="C23" t="s">
        <v>90</v>
      </c>
      <c r="D23">
        <v>12.2399997711182</v>
      </c>
      <c r="E23" t="s">
        <v>70</v>
      </c>
      <c r="F23" s="5" t="s">
        <v>91</v>
      </c>
    </row>
    <row r="24" ht="43.2" spans="1:7">
      <c r="A24">
        <v>23</v>
      </c>
      <c r="B24" s="3" t="s">
        <v>92</v>
      </c>
      <c r="C24" t="s">
        <v>46</v>
      </c>
      <c r="D24">
        <v>14.0799999237061</v>
      </c>
      <c r="E24" t="s">
        <v>70</v>
      </c>
      <c r="F24" s="5" t="s">
        <v>93</v>
      </c>
      <c r="G24" t="s">
        <v>63</v>
      </c>
    </row>
    <row r="25" ht="43.2" spans="1:7">
      <c r="A25">
        <v>24</v>
      </c>
      <c r="B25" s="3" t="s">
        <v>94</v>
      </c>
      <c r="C25" t="s">
        <v>37</v>
      </c>
      <c r="D25">
        <v>12.8800001144409</v>
      </c>
      <c r="E25" t="s">
        <v>70</v>
      </c>
      <c r="F25" s="5" t="s">
        <v>95</v>
      </c>
      <c r="G25" t="s">
        <v>44</v>
      </c>
    </row>
    <row r="26" ht="43.2" spans="1:7">
      <c r="A26">
        <v>25</v>
      </c>
      <c r="B26" s="3" t="s">
        <v>96</v>
      </c>
      <c r="C26" t="s">
        <v>97</v>
      </c>
      <c r="D26">
        <v>14</v>
      </c>
      <c r="E26" t="s">
        <v>70</v>
      </c>
      <c r="F26" s="5" t="s">
        <v>98</v>
      </c>
      <c r="G26" t="s">
        <v>44</v>
      </c>
    </row>
    <row r="27" ht="28.8" spans="1:7">
      <c r="A27">
        <v>26</v>
      </c>
      <c r="B27" s="3" t="s">
        <v>99</v>
      </c>
      <c r="C27" t="s">
        <v>37</v>
      </c>
      <c r="D27">
        <v>13.3999996185303</v>
      </c>
      <c r="E27" t="s">
        <v>70</v>
      </c>
      <c r="F27" s="5" t="s">
        <v>100</v>
      </c>
      <c r="G27" t="s">
        <v>44</v>
      </c>
    </row>
    <row r="28" ht="28.8" spans="1:7">
      <c r="A28">
        <v>27</v>
      </c>
      <c r="B28" s="3" t="s">
        <v>101</v>
      </c>
      <c r="C28" t="s">
        <v>49</v>
      </c>
      <c r="D28">
        <v>12.4799995422363</v>
      </c>
      <c r="E28" t="s">
        <v>70</v>
      </c>
      <c r="F28" s="5" t="s">
        <v>102</v>
      </c>
      <c r="G28" t="s">
        <v>44</v>
      </c>
    </row>
    <row r="29" ht="28.8" spans="1:7">
      <c r="A29">
        <v>28</v>
      </c>
      <c r="B29" s="3" t="s">
        <v>103</v>
      </c>
      <c r="C29" t="s">
        <v>46</v>
      </c>
      <c r="D29">
        <v>12.7200002670288</v>
      </c>
      <c r="E29" t="s">
        <v>70</v>
      </c>
      <c r="F29" s="5" t="s">
        <v>104</v>
      </c>
      <c r="G29" t="s">
        <v>44</v>
      </c>
    </row>
    <row r="30" ht="43.2" spans="1:7">
      <c r="A30">
        <v>29</v>
      </c>
      <c r="B30" s="3" t="s">
        <v>105</v>
      </c>
      <c r="C30" t="s">
        <v>42</v>
      </c>
      <c r="D30">
        <v>13.3199996948242</v>
      </c>
      <c r="E30" t="s">
        <v>70</v>
      </c>
      <c r="F30" s="5" t="s">
        <v>106</v>
      </c>
      <c r="G30" t="s">
        <v>44</v>
      </c>
    </row>
    <row r="31" ht="28.8" spans="1:7">
      <c r="A31">
        <v>30</v>
      </c>
      <c r="B31" s="3" t="s">
        <v>107</v>
      </c>
      <c r="C31" t="s">
        <v>97</v>
      </c>
      <c r="D31">
        <v>12.5600004196167</v>
      </c>
      <c r="E31" t="s">
        <v>70</v>
      </c>
      <c r="F31" s="5" t="s">
        <v>108</v>
      </c>
      <c r="G31" t="s">
        <v>44</v>
      </c>
    </row>
    <row r="32" ht="28.8" spans="1:7">
      <c r="A32">
        <v>31</v>
      </c>
      <c r="B32" s="3" t="s">
        <v>109</v>
      </c>
      <c r="C32" t="s">
        <v>37</v>
      </c>
      <c r="D32">
        <v>14.5600004196167</v>
      </c>
      <c r="E32" t="s">
        <v>70</v>
      </c>
      <c r="F32" s="5" t="s">
        <v>110</v>
      </c>
      <c r="G32" t="s">
        <v>44</v>
      </c>
    </row>
    <row r="33" ht="43.2" spans="1:7">
      <c r="A33">
        <v>32</v>
      </c>
      <c r="B33" s="3" t="s">
        <v>111</v>
      </c>
      <c r="C33" t="s">
        <v>49</v>
      </c>
      <c r="D33">
        <v>14.2399997711182</v>
      </c>
      <c r="E33" t="s">
        <v>70</v>
      </c>
      <c r="F33" s="5" t="s">
        <v>112</v>
      </c>
      <c r="G33" t="s">
        <v>44</v>
      </c>
    </row>
    <row r="34" ht="43.2" spans="1:7">
      <c r="A34">
        <v>33</v>
      </c>
      <c r="B34" s="3" t="s">
        <v>113</v>
      </c>
      <c r="C34" t="s">
        <v>37</v>
      </c>
      <c r="D34">
        <v>12.7200002670288</v>
      </c>
      <c r="E34" t="s">
        <v>70</v>
      </c>
      <c r="F34" s="5" t="s">
        <v>114</v>
      </c>
      <c r="G34" t="s">
        <v>44</v>
      </c>
    </row>
    <row r="35" ht="28.8" spans="1:7">
      <c r="A35">
        <v>34</v>
      </c>
      <c r="B35" s="3" t="s">
        <v>115</v>
      </c>
      <c r="C35" t="s">
        <v>97</v>
      </c>
      <c r="D35">
        <v>12.960000038147</v>
      </c>
      <c r="E35" t="s">
        <v>70</v>
      </c>
      <c r="F35" s="5" t="s">
        <v>116</v>
      </c>
      <c r="G35" t="s">
        <v>63</v>
      </c>
    </row>
    <row r="36" ht="28.8" spans="1:7">
      <c r="A36">
        <v>35</v>
      </c>
      <c r="B36" s="3" t="s">
        <v>117</v>
      </c>
      <c r="C36" t="s">
        <v>69</v>
      </c>
      <c r="D36">
        <v>13.4399995803833</v>
      </c>
      <c r="E36" t="s">
        <v>70</v>
      </c>
      <c r="F36" s="5" t="s">
        <v>118</v>
      </c>
      <c r="G36" t="s">
        <v>44</v>
      </c>
    </row>
    <row r="37" ht="28.8" spans="1:7">
      <c r="A37">
        <v>36</v>
      </c>
      <c r="B37" s="3" t="s">
        <v>119</v>
      </c>
      <c r="C37" t="s">
        <v>97</v>
      </c>
      <c r="D37">
        <v>13.8000001907349</v>
      </c>
      <c r="E37" t="s">
        <v>70</v>
      </c>
      <c r="F37" s="5" t="s">
        <v>120</v>
      </c>
      <c r="G37" t="s">
        <v>63</v>
      </c>
    </row>
    <row r="38" ht="28.8" spans="1:7">
      <c r="A38">
        <v>37</v>
      </c>
      <c r="B38" s="3" t="s">
        <v>121</v>
      </c>
      <c r="C38" t="s">
        <v>79</v>
      </c>
      <c r="D38">
        <v>12.8000001907349</v>
      </c>
      <c r="E38" t="s">
        <v>70</v>
      </c>
      <c r="F38" s="5" t="s">
        <v>122</v>
      </c>
      <c r="G38" t="s">
        <v>44</v>
      </c>
    </row>
    <row r="39" ht="43.2" spans="1:7">
      <c r="A39">
        <v>38</v>
      </c>
      <c r="B39" s="3" t="s">
        <v>123</v>
      </c>
      <c r="C39" t="s">
        <v>49</v>
      </c>
      <c r="D39">
        <v>12.5600004196167</v>
      </c>
      <c r="E39" t="s">
        <v>70</v>
      </c>
      <c r="F39" s="5" t="s">
        <v>124</v>
      </c>
      <c r="G39" t="s">
        <v>44</v>
      </c>
    </row>
    <row r="40" ht="43.2" spans="1:7">
      <c r="A40">
        <v>39</v>
      </c>
      <c r="B40" s="3" t="s">
        <v>125</v>
      </c>
      <c r="C40" t="s">
        <v>90</v>
      </c>
      <c r="D40">
        <v>14.4799995422363</v>
      </c>
      <c r="E40" t="s">
        <v>70</v>
      </c>
      <c r="F40" s="5" t="s">
        <v>126</v>
      </c>
      <c r="G40" t="s">
        <v>63</v>
      </c>
    </row>
    <row r="41" ht="43.2" spans="1:7">
      <c r="A41">
        <v>40</v>
      </c>
      <c r="B41" s="3" t="s">
        <v>127</v>
      </c>
      <c r="C41" t="s">
        <v>79</v>
      </c>
      <c r="D41">
        <v>14.5200004577637</v>
      </c>
      <c r="E41" t="s">
        <v>70</v>
      </c>
      <c r="F41" s="5" t="s">
        <v>128</v>
      </c>
      <c r="G41" t="s">
        <v>44</v>
      </c>
    </row>
    <row r="42" ht="43.2" spans="1:7">
      <c r="A42">
        <v>41</v>
      </c>
      <c r="B42" s="3" t="s">
        <v>129</v>
      </c>
      <c r="C42" t="s">
        <v>79</v>
      </c>
      <c r="D42">
        <v>13.8000001907349</v>
      </c>
      <c r="E42" t="s">
        <v>70</v>
      </c>
      <c r="F42" s="5" t="s">
        <v>130</v>
      </c>
      <c r="G42" t="s">
        <v>44</v>
      </c>
    </row>
    <row r="43" ht="28.8" spans="1:7">
      <c r="A43">
        <v>42</v>
      </c>
      <c r="B43" s="3" t="s">
        <v>131</v>
      </c>
      <c r="C43" t="s">
        <v>90</v>
      </c>
      <c r="D43">
        <v>12.8800001144409</v>
      </c>
      <c r="E43" t="s">
        <v>70</v>
      </c>
      <c r="F43" s="5" t="s">
        <v>132</v>
      </c>
      <c r="G43" t="s">
        <v>40</v>
      </c>
    </row>
    <row r="44" ht="57.6" spans="1:7">
      <c r="A44">
        <v>43</v>
      </c>
      <c r="B44" s="3" t="s">
        <v>133</v>
      </c>
      <c r="C44" t="s">
        <v>37</v>
      </c>
      <c r="D44">
        <v>14.8800001144409</v>
      </c>
      <c r="E44" t="s">
        <v>70</v>
      </c>
      <c r="F44" s="5" t="s">
        <v>134</v>
      </c>
      <c r="G44" t="s">
        <v>44</v>
      </c>
    </row>
    <row r="45" ht="28.8" spans="1:7">
      <c r="A45">
        <v>44</v>
      </c>
      <c r="B45" s="3" t="s">
        <v>135</v>
      </c>
      <c r="C45" t="s">
        <v>42</v>
      </c>
      <c r="D45">
        <v>14.8800001144409</v>
      </c>
      <c r="E45" t="s">
        <v>70</v>
      </c>
      <c r="F45" s="5" t="s">
        <v>136</v>
      </c>
      <c r="G45" t="s">
        <v>44</v>
      </c>
    </row>
    <row r="46" ht="43.2" spans="1:7">
      <c r="A46">
        <v>45</v>
      </c>
      <c r="B46" s="3" t="s">
        <v>137</v>
      </c>
      <c r="C46" t="s">
        <v>90</v>
      </c>
      <c r="D46">
        <v>13.6000003814697</v>
      </c>
      <c r="E46" t="s">
        <v>70</v>
      </c>
      <c r="F46" s="5" t="s">
        <v>138</v>
      </c>
      <c r="G46" t="s">
        <v>44</v>
      </c>
    </row>
    <row r="47" ht="43.2" spans="1:7">
      <c r="A47">
        <v>46</v>
      </c>
      <c r="B47" s="3" t="s">
        <v>139</v>
      </c>
      <c r="C47" t="s">
        <v>37</v>
      </c>
      <c r="D47">
        <v>14.039999961853</v>
      </c>
      <c r="E47" t="s">
        <v>70</v>
      </c>
      <c r="F47" s="5" t="s">
        <v>140</v>
      </c>
      <c r="G47" t="s">
        <v>44</v>
      </c>
    </row>
    <row r="48" ht="28.8" spans="1:7">
      <c r="A48">
        <v>47</v>
      </c>
      <c r="B48" s="3" t="s">
        <v>141</v>
      </c>
      <c r="C48" t="s">
        <v>69</v>
      </c>
      <c r="D48">
        <v>12.3599996566772</v>
      </c>
      <c r="E48" t="s">
        <v>70</v>
      </c>
      <c r="F48" s="5" t="s">
        <v>142</v>
      </c>
      <c r="G48" t="s">
        <v>44</v>
      </c>
    </row>
    <row r="49" ht="43.2" spans="1:7">
      <c r="A49">
        <v>48</v>
      </c>
      <c r="B49" s="3" t="s">
        <v>143</v>
      </c>
      <c r="C49" t="s">
        <v>79</v>
      </c>
      <c r="D49">
        <v>14.039999961853</v>
      </c>
      <c r="E49" t="s">
        <v>70</v>
      </c>
      <c r="F49" s="5" t="s">
        <v>144</v>
      </c>
      <c r="G49" t="s">
        <v>44</v>
      </c>
    </row>
    <row r="50" ht="28.8" spans="1:7">
      <c r="A50">
        <v>49</v>
      </c>
      <c r="B50" s="3" t="s">
        <v>145</v>
      </c>
      <c r="C50" t="s">
        <v>46</v>
      </c>
      <c r="D50">
        <v>13.3599996566772</v>
      </c>
      <c r="E50" t="s">
        <v>70</v>
      </c>
      <c r="F50" s="5" t="s">
        <v>146</v>
      </c>
      <c r="G50" t="s">
        <v>44</v>
      </c>
    </row>
    <row r="51" ht="43.2" spans="1:7">
      <c r="A51">
        <v>50</v>
      </c>
      <c r="B51" s="3" t="s">
        <v>147</v>
      </c>
      <c r="C51" t="s">
        <v>46</v>
      </c>
      <c r="D51">
        <v>13.3199996948242</v>
      </c>
      <c r="E51" t="s">
        <v>70</v>
      </c>
      <c r="F51" s="5" t="s">
        <v>148</v>
      </c>
      <c r="G51" t="s">
        <v>44</v>
      </c>
    </row>
    <row r="52" ht="28.8" spans="1:7">
      <c r="A52">
        <v>51</v>
      </c>
      <c r="B52" s="3" t="s">
        <v>149</v>
      </c>
      <c r="C52" t="s">
        <v>42</v>
      </c>
      <c r="D52">
        <v>13.5200004577637</v>
      </c>
      <c r="E52" t="s">
        <v>70</v>
      </c>
      <c r="F52" s="5" t="s">
        <v>150</v>
      </c>
      <c r="G52" t="s">
        <v>44</v>
      </c>
    </row>
    <row r="53" ht="43.2" spans="1:7">
      <c r="A53">
        <v>52</v>
      </c>
      <c r="B53" s="3" t="s">
        <v>151</v>
      </c>
      <c r="C53" t="s">
        <v>90</v>
      </c>
      <c r="D53">
        <v>14.7200002670288</v>
      </c>
      <c r="E53" t="s">
        <v>70</v>
      </c>
      <c r="F53" s="5" t="s">
        <v>152</v>
      </c>
      <c r="G53" t="s">
        <v>44</v>
      </c>
    </row>
    <row r="54" ht="43.2" spans="1:7">
      <c r="A54">
        <v>53</v>
      </c>
      <c r="B54" s="3" t="s">
        <v>153</v>
      </c>
      <c r="C54" t="s">
        <v>69</v>
      </c>
      <c r="D54">
        <v>13.1199998855591</v>
      </c>
      <c r="E54" t="s">
        <v>70</v>
      </c>
      <c r="F54" s="5" t="s">
        <v>154</v>
      </c>
      <c r="G54" t="s">
        <v>44</v>
      </c>
    </row>
    <row r="55" ht="28.8" spans="1:7">
      <c r="A55">
        <v>54</v>
      </c>
      <c r="B55" s="3" t="s">
        <v>155</v>
      </c>
      <c r="C55" t="s">
        <v>69</v>
      </c>
      <c r="D55">
        <v>13.6000003814697</v>
      </c>
      <c r="E55" t="s">
        <v>70</v>
      </c>
      <c r="F55" s="5" t="s">
        <v>156</v>
      </c>
      <c r="G55" t="s">
        <v>40</v>
      </c>
    </row>
    <row r="56" ht="43.2" spans="1:7">
      <c r="A56">
        <v>55</v>
      </c>
      <c r="B56" s="3" t="s">
        <v>157</v>
      </c>
      <c r="C56" t="s">
        <v>90</v>
      </c>
      <c r="D56">
        <v>12.4799995422363</v>
      </c>
      <c r="E56" t="s">
        <v>70</v>
      </c>
      <c r="F56" s="5" t="s">
        <v>158</v>
      </c>
      <c r="G56" t="s">
        <v>44</v>
      </c>
    </row>
    <row r="57" ht="28.8" spans="1:7">
      <c r="A57">
        <v>56</v>
      </c>
      <c r="B57" s="3" t="s">
        <v>159</v>
      </c>
      <c r="C57" t="s">
        <v>69</v>
      </c>
      <c r="D57">
        <v>13.1599998474121</v>
      </c>
      <c r="E57" t="s">
        <v>70</v>
      </c>
      <c r="F57" s="5" t="s">
        <v>160</v>
      </c>
      <c r="G57" t="s">
        <v>63</v>
      </c>
    </row>
    <row r="58" ht="28.8" spans="1:7">
      <c r="A58">
        <v>57</v>
      </c>
      <c r="B58" s="3" t="s">
        <v>161</v>
      </c>
      <c r="C58" t="s">
        <v>49</v>
      </c>
      <c r="D58">
        <v>14.0799999237061</v>
      </c>
      <c r="E58" t="s">
        <v>70</v>
      </c>
      <c r="F58" s="5" t="s">
        <v>162</v>
      </c>
      <c r="G58" t="s">
        <v>63</v>
      </c>
    </row>
    <row r="59" ht="28.8" spans="1:7">
      <c r="A59">
        <v>58</v>
      </c>
      <c r="B59" s="3" t="s">
        <v>163</v>
      </c>
      <c r="C59" t="s">
        <v>42</v>
      </c>
      <c r="D59">
        <v>13.8800001144409</v>
      </c>
      <c r="E59" t="s">
        <v>70</v>
      </c>
      <c r="F59" s="5" t="s">
        <v>164</v>
      </c>
      <c r="G59" t="s">
        <v>44</v>
      </c>
    </row>
    <row r="60" ht="43.2" spans="1:7">
      <c r="A60">
        <v>59</v>
      </c>
      <c r="B60" s="3" t="s">
        <v>165</v>
      </c>
      <c r="C60" t="s">
        <v>97</v>
      </c>
      <c r="D60">
        <v>13.1599998474121</v>
      </c>
      <c r="E60" t="s">
        <v>70</v>
      </c>
      <c r="F60" s="5" t="s">
        <v>166</v>
      </c>
      <c r="G60" t="s">
        <v>44</v>
      </c>
    </row>
    <row r="61" ht="28.8" spans="1:7">
      <c r="A61">
        <v>60</v>
      </c>
      <c r="B61" s="3" t="s">
        <v>167</v>
      </c>
      <c r="C61" t="s">
        <v>97</v>
      </c>
      <c r="D61">
        <v>13.2799997329712</v>
      </c>
      <c r="E61" t="s">
        <v>70</v>
      </c>
      <c r="F61" s="5" t="s">
        <v>168</v>
      </c>
      <c r="G61" t="s">
        <v>44</v>
      </c>
    </row>
  </sheetData>
  <conditionalFormatting sqref="G2:G61">
    <cfRule type="cellIs" dxfId="0" priority="1" operator="equal">
      <formula>"KEEP"</formula>
    </cfRule>
    <cfRule type="cellIs" dxfId="1" priority="2" operator="equal">
      <formula>"BORDERLINE"</formula>
    </cfRule>
    <cfRule type="cellIs" dxfId="2" priority="3" operator="equal">
      <formula>"REJECT"</formula>
    </cfRule>
  </conditionalFormatting>
  <dataValidations count="2">
    <dataValidation type="list" allowBlank="1" sqref="G2:G61">
      <formula1>"KEEP,BORDERLINE,REJECT"</formula1>
    </dataValidation>
    <dataValidation type="list" allowBlank="1" sqref="H2:H61">
      <formula1>"cut_end,cut_start,cut_both,multiple_speakers,noise,music,transcript_mismatch,unnatural_delivery,other"</formula1>
    </dataValidation>
  </dataValidations>
  <hyperlinks>
    <hyperlink ref="B2" r:id="rId1" display="p2_49_filtered-train-00034-of-00082_r2964.wav"/>
    <hyperlink ref="B3" r:id="rId2" display="p2_66_filtered-train-00053-of-00082_r152.wav"/>
    <hyperlink ref="B4" r:id="rId3" display="p2_59_filtered-train-00049-of-00082_r1137.wav"/>
    <hyperlink ref="B5" r:id="rId4" display="p2_54_filtered-train-00039-of-00082_r587.wav"/>
    <hyperlink ref="B6" r:id="rId5" display="p2_70_filtered-train-00053-of-00082_r1087.wav"/>
    <hyperlink ref="B7" r:id="rId6" display="p2_62_filtered-train-00049-of-00082_r1642.wav"/>
    <hyperlink ref="B8" r:id="rId7" display="p2_48_filtered-train-00034-of-00082_r1998.wav"/>
    <hyperlink ref="B9" r:id="rId8" display="p2_71_filtered-train-00053-of-00082_r1518.wav"/>
    <hyperlink ref="B10" r:id="rId9" display="p2_51_filtered-train-00039-of-00082_r0.wav"/>
    <hyperlink ref="B11" r:id="rId10" display="p2_50_filtered-train-00034-of-00082_r3307.wav"/>
    <hyperlink ref="B12" r:id="rId11" display="p2_57_filtered-train-00049-of-00082_r601.wav"/>
    <hyperlink ref="B13" r:id="rId12" display="p2_55_filtered-train-00039-of-00082_r1773.wav"/>
    <hyperlink ref="B14" r:id="rId13" display="p2_79_filtered-train-00063-of-00082_r2529.wav"/>
    <hyperlink ref="B15" r:id="rId14" display="p2_07_filtered-train-00039-of-00082_r1252.wav"/>
    <hyperlink ref="B16" r:id="rId15" display="p2_58_filtered-train-00049-of-00082_r1136.wav"/>
    <hyperlink ref="B17" r:id="rId16" display="p2_68_filtered-train-00053-of-00082_r889.wav"/>
    <hyperlink ref="B18" r:id="rId17" display="p2_82_filtered-train-00075-of-00082_r2388.wav"/>
    <hyperlink ref="B19" r:id="rId18" display="p2_64_filtered-train-00049-of-00082_r2517.wav"/>
    <hyperlink ref="B20" r:id="rId19" display="p2_81_filtered-train-00075-of-00082_r1190.wav"/>
    <hyperlink ref="B21" r:id="rId20" display="p2_56_filtered-train-00039-of-00082_r3061.wav"/>
    <hyperlink ref="B22" r:id="rId21" display="p2_72_filtered-train-00053-of-00082_r1761.wav"/>
    <hyperlink ref="B23" r:id="rId22" display="p2_96_filtered-train-00086-of-00082_r1892.wav"/>
    <hyperlink ref="B24" r:id="rId23" display="p2_65_filtered-train-00049-of-00082_r2778.wav"/>
    <hyperlink ref="B25" r:id="rId24" display="p2_03_filtered-train-00034-of-00082_r3261.wav"/>
    <hyperlink ref="B26" r:id="rId25" display="p2_87_filtered-train-00080-of-00082_r46.wav"/>
    <hyperlink ref="B27" r:id="rId26" display="p2_00_filtered-train-00034-of-00082_r170.wav"/>
    <hyperlink ref="B28" r:id="rId27" display="p2_06_filtered-train-00039-of-00082_r519.wav"/>
    <hyperlink ref="B29" r:id="rId28" display="p2_63_filtered-train-00049-of-00082_r2484.wav"/>
    <hyperlink ref="B30" r:id="rId29" display="p2_73_filtered-train-00053-of-00082_r1767.wav"/>
    <hyperlink ref="B31" r:id="rId30" display="p2_92_filtered-train-00080-of-00082_r2379.wav"/>
    <hyperlink ref="B32" r:id="rId31" display="p2_02_filtered-train-00034-of-00082_r2901.wav"/>
    <hyperlink ref="B33" r:id="rId32" display="p2_52_filtered-train-00039-of-00082_r335.wav"/>
    <hyperlink ref="B34" r:id="rId33" display="p2_04_filtered-train-00034-of-00082_r3958.wav"/>
    <hyperlink ref="B35" r:id="rId34" display="p2_88_filtered-train-00080-of-00082_r422.wav"/>
    <hyperlink ref="B36" r:id="rId35" display="p2_77_filtered-train-00063-of-00082_r2312.wav"/>
    <hyperlink ref="B37" r:id="rId36" display="p2_91_filtered-train-00080-of-00082_r2158.wav"/>
    <hyperlink ref="B38" r:id="rId37" display="p2_86_filtered-train-00075-of-00082_r3767.wav"/>
    <hyperlink ref="B39" r:id="rId38" display="p2_10_filtered-train-00039-of-00082_r2660.wav"/>
    <hyperlink ref="B40" r:id="rId39" display="p2_94_filtered-train-00086-of-00082_r1100.wav"/>
    <hyperlink ref="B41" r:id="rId40" display="p2_85_filtered-train-00075-of-00082_r3368.wav"/>
    <hyperlink ref="B42" r:id="rId41" display="p2_84_filtered-train-00075-of-00082_r2994.wav"/>
    <hyperlink ref="B43" r:id="rId42" display="p2_95_filtered-train-00086-of-00082_r1643.wav"/>
    <hyperlink ref="B44" r:id="rId43" display="p2_05_filtered-train-00034-of-00082_r4001.wav"/>
    <hyperlink ref="B45" r:id="rId44" display="p2_69_filtered-train-00053-of-00082_r1085.wav"/>
    <hyperlink ref="B46" r:id="rId45" display="p2_97_filtered-train-00086-of-00082_r2425.wav"/>
    <hyperlink ref="B47" r:id="rId46" display="p2_01_filtered-train-00034-of-00082_r1933.wav"/>
    <hyperlink ref="B48" r:id="rId47" display="p2_78_filtered-train-00063-of-00082_r2399.wav"/>
    <hyperlink ref="B49" r:id="rId48" display="p2_83_filtered-train-00075-of-00082_r2874.wav"/>
    <hyperlink ref="B50" r:id="rId49" display="p2_61_filtered-train-00049-of-00082_r1455.wav"/>
    <hyperlink ref="B51" r:id="rId50" display="p2_60_filtered-train-00049-of-00082_r1223.wav"/>
    <hyperlink ref="B52" r:id="rId51" display="p2_67_filtered-train-00053-of-00082_r270.wav"/>
    <hyperlink ref="B53" r:id="rId52" display="p2_93_filtered-train-00086-of-00082_r937.wav"/>
    <hyperlink ref="B54" r:id="rId53" display="p2_75_filtered-train-00063-of-00082_r333.wav"/>
    <hyperlink ref="B55" r:id="rId54" display="p2_76_filtered-train-00063-of-00082_r658.wav"/>
    <hyperlink ref="B56" r:id="rId55" display="p2_98_filtered-train-00086-of-00082_r2843.wav"/>
    <hyperlink ref="B57" r:id="rId56" display="p2_80_filtered-train-00063-of-00082_r2672.wav"/>
    <hyperlink ref="B58" r:id="rId57" display="p2_53_filtered-train-00039-of-00082_r492.wav"/>
    <hyperlink ref="B59" r:id="rId58" display="p2_74_filtered-train-00053-of-00082_r1783.wav"/>
    <hyperlink ref="B60" r:id="rId59" display="p2_89_filtered-train-00080-of-00082_r749.wav"/>
    <hyperlink ref="B61" r:id="rId60" display="p2_90_filtered-train-00080-of-00082_r1964.wav"/>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pane ySplit="1" topLeftCell="A2" activePane="bottomLeft" state="frozen"/>
      <selection/>
      <selection pane="bottomLeft" activeCell="A1" sqref="A1"/>
    </sheetView>
  </sheetViews>
  <sheetFormatPr defaultColWidth="9" defaultRowHeight="14.4" outlineLevelRow="1"/>
  <cols>
    <col min="1" max="1" width="12" customWidth="1"/>
    <col min="2" max="2" width="48" customWidth="1"/>
    <col min="3" max="3" width="34" customWidth="1"/>
    <col min="4" max="4" width="11" customWidth="1"/>
    <col min="5" max="5" width="16" customWidth="1"/>
    <col min="6" max="6" width="90" customWidth="1"/>
    <col min="7" max="7" width="13" customWidth="1"/>
    <col min="8" max="8" width="22" customWidth="1"/>
    <col min="9" max="9" width="40" customWidth="1"/>
  </cols>
  <sheetData>
    <row r="1" spans="1:9">
      <c r="A1" s="1" t="s">
        <v>27</v>
      </c>
      <c r="B1" s="1" t="s">
        <v>28</v>
      </c>
      <c r="C1" s="1" t="s">
        <v>29</v>
      </c>
      <c r="D1" s="1" t="s">
        <v>30</v>
      </c>
      <c r="E1" s="1" t="s">
        <v>31</v>
      </c>
      <c r="F1" s="1" t="s">
        <v>32</v>
      </c>
      <c r="G1" s="1" t="s">
        <v>33</v>
      </c>
      <c r="H1" s="1" t="s">
        <v>34</v>
      </c>
      <c r="I1" s="1" t="s">
        <v>35</v>
      </c>
    </row>
    <row r="2" spans="1:9">
      <c r="A2">
        <f>IFERROR(_xlfn._xlws.FILTER(AUDIT!A2:I61,AUDIT!G2:G61="KEEP"),"no KEEP rows yet (needs Excel 365/2021)")</f>
        <v>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pane ySplit="1" topLeftCell="A2" activePane="bottomLeft" state="frozen"/>
      <selection/>
      <selection pane="bottomLeft" activeCell="A1" sqref="A1"/>
    </sheetView>
  </sheetViews>
  <sheetFormatPr defaultColWidth="9" defaultRowHeight="14.4" outlineLevelRow="1"/>
  <cols>
    <col min="1" max="1" width="12" customWidth="1"/>
    <col min="2" max="2" width="48" customWidth="1"/>
    <col min="3" max="3" width="34" customWidth="1"/>
    <col min="4" max="4" width="11" customWidth="1"/>
    <col min="5" max="5" width="16" customWidth="1"/>
    <col min="6" max="6" width="90" customWidth="1"/>
    <col min="7" max="7" width="13" customWidth="1"/>
    <col min="8" max="8" width="22" customWidth="1"/>
    <col min="9" max="9" width="40" customWidth="1"/>
  </cols>
  <sheetData>
    <row r="1" spans="1:9">
      <c r="A1" s="1" t="s">
        <v>27</v>
      </c>
      <c r="B1" s="1" t="s">
        <v>28</v>
      </c>
      <c r="C1" s="1" t="s">
        <v>29</v>
      </c>
      <c r="D1" s="1" t="s">
        <v>30</v>
      </c>
      <c r="E1" s="1" t="s">
        <v>31</v>
      </c>
      <c r="F1" s="1" t="s">
        <v>32</v>
      </c>
      <c r="G1" s="1" t="s">
        <v>33</v>
      </c>
      <c r="H1" s="1" t="s">
        <v>34</v>
      </c>
      <c r="I1" s="1" t="s">
        <v>35</v>
      </c>
    </row>
    <row r="2" spans="1:9">
      <c r="A2">
        <f>IFERROR(_xlfn._xlws.FILTER(AUDIT!A2:I61,AUDIT!G2:G61="REJECT"),"no REJECT rows yet (needs Excel 365/2021)")</f>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INSTRUCTIONS</vt:lpstr>
      <vt:lpstr>AUDIT</vt:lpstr>
      <vt:lpstr>GOOD</vt:lpstr>
      <vt:lpstr>BAD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WPS_1637712832</cp:lastModifiedBy>
  <dcterms:created xsi:type="dcterms:W3CDTF">2026-08-23T18:09:00Z</dcterms:created>
  <dcterms:modified xsi:type="dcterms:W3CDTF">2026-08-23T18:47:30Z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6BF8B7FD84F8478383AF76A9DC0CF1B3_12</vt:lpwstr>
  </property>
  <property fmtid="{D5CDD505-2E9C-101B-9397-08002B2CF9AE}" pid="3" name="KSOProductBuildVer">
    <vt:lpwstr>1033-12.1.0.28032</vt:lpwstr>
  </property>
  <property fmtid="{D5CDD505-2E9C-101B-9397-08002B2CF9AE}" pid="4" name="CalculationRule">
    <vt:i4>0</vt:i4>
  </property>
</Properties>
</file>